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277"/>
  </bookViews>
  <sheets>
    <sheet name="APP" sheetId="2" r:id="rId1"/>
    <sheet name="Chave" sheetId="3" r:id="rId2"/>
  </sheets>
  <definedNames>
    <definedName name="aporte">APP!$D$14</definedName>
    <definedName name="patrimonio">APP!$D$17</definedName>
    <definedName name="qtd_anos">APP!$D$15</definedName>
    <definedName name="rendimento_carteira">APP!$D$10</definedName>
    <definedName name="salario">APP!$D$9</definedName>
    <definedName name="sugestao_investimento">APP!$D$11</definedName>
    <definedName name="taxa_mensal">APP!$D$16</definedName>
  </definedNames>
  <calcPr calcId="144525"/>
</workbook>
</file>

<file path=xl/calcChain.xml><?xml version="1.0" encoding="utf-8"?>
<calcChain xmlns="http://schemas.openxmlformats.org/spreadsheetml/2006/main">
  <c r="D11" i="2" l="1"/>
  <c r="C34" i="2"/>
  <c r="C35" i="2"/>
  <c r="C36" i="2"/>
  <c r="C37" i="2"/>
  <c r="C38" i="2"/>
  <c r="C33" i="2"/>
  <c r="A16" i="3"/>
  <c r="A17" i="3"/>
  <c r="A18" i="3"/>
  <c r="A19" i="3"/>
  <c r="A20" i="3"/>
  <c r="A15" i="3"/>
  <c r="A10" i="3"/>
  <c r="A11" i="3"/>
  <c r="A12" i="3"/>
  <c r="A13" i="3"/>
  <c r="A14" i="3"/>
  <c r="A9" i="3"/>
  <c r="A4" i="3"/>
  <c r="A5" i="3"/>
  <c r="A6" i="3"/>
  <c r="A7" i="3"/>
  <c r="A8" i="3"/>
  <c r="A3" i="3"/>
  <c r="C30" i="2"/>
  <c r="D34" i="2" s="1"/>
  <c r="C22" i="2"/>
  <c r="D22" i="2" s="1"/>
  <c r="C23" i="2"/>
  <c r="D23" i="2" s="1"/>
  <c r="C24" i="2"/>
  <c r="D24" i="2" s="1"/>
  <c r="C25" i="2"/>
  <c r="D25" i="2" s="1"/>
  <c r="C21" i="2"/>
  <c r="D21" i="2" s="1"/>
  <c r="D17" i="2"/>
  <c r="D18" i="2" s="1"/>
  <c r="D38" i="2" l="1"/>
  <c r="D37" i="2"/>
  <c r="D33" i="2"/>
  <c r="D35" i="2"/>
  <c r="D36" i="2"/>
  <c r="D39" i="2" l="1"/>
</calcChain>
</file>

<file path=xl/sharedStrings.xml><?xml version="1.0" encoding="utf-8"?>
<sst xmlns="http://schemas.openxmlformats.org/spreadsheetml/2006/main" count="69" uniqueCount="33">
  <si>
    <t>Quanto devo investir por mês?</t>
  </si>
  <si>
    <t>Por quantos anos investir?</t>
  </si>
  <si>
    <t>Taxa de rendimento mensal?</t>
  </si>
  <si>
    <t>Quanto de patrimônio acumulado?</t>
  </si>
  <si>
    <t>Quantos dividentos mensais?</t>
  </si>
  <si>
    <t>Quanto em 02 anos?</t>
  </si>
  <si>
    <t>Quanto em 05 anos?</t>
  </si>
  <si>
    <t>Quanto em 10 anos?</t>
  </si>
  <si>
    <t>Quanto em 20 anos?</t>
  </si>
  <si>
    <t>Quanto em 30 anos?</t>
  </si>
  <si>
    <t>Cenários</t>
  </si>
  <si>
    <t>Dividendos</t>
  </si>
  <si>
    <t>Rendimento de Carteira</t>
  </si>
  <si>
    <t>Salário</t>
  </si>
  <si>
    <t>CONFIGURAÇÕES</t>
  </si>
  <si>
    <t>INVESTIMENTO MENSAL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</si>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</sst>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R$&quot;#,##0.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0"/>
      <name val="Aptos"/>
    </font>
    <font>
      <sz val="11"/>
      <color theme="1"/>
      <name val="Aptos"/>
    </font>
    <font>
      <b/>
      <sz val="36"/>
      <color theme="1"/>
      <name val="Aptos"/>
    </font>
    <font>
      <sz val="11"/>
      <color theme="0"/>
      <name val="Aptos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20"/>
      <color theme="0"/>
      <name val="Segoe UI Black"/>
      <family val="2"/>
    </font>
    <font>
      <b/>
      <sz val="14"/>
      <color theme="0"/>
      <name val="Segoe UI Black"/>
      <family val="2"/>
    </font>
    <font>
      <sz val="11"/>
      <color theme="1" tint="0.34998626667073579"/>
      <name val="Segoe UI"/>
      <family val="2"/>
    </font>
    <font>
      <b/>
      <sz val="11"/>
      <color theme="1"/>
      <name val="Segoe UI"/>
      <family val="2"/>
    </font>
    <font>
      <sz val="1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A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7" fillId="0" borderId="0" xfId="0" applyFont="1"/>
    <xf numFmtId="165" fontId="8" fillId="0" borderId="14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0" fontId="8" fillId="0" borderId="17" xfId="0" applyNumberFormat="1" applyFont="1" applyBorder="1" applyAlignment="1">
      <alignment horizontal="center" vertical="center"/>
    </xf>
    <xf numFmtId="0" fontId="8" fillId="5" borderId="15" xfId="0" applyFont="1" applyFill="1" applyBorder="1" applyAlignment="1">
      <alignment horizontal="left" vertical="center" indent="3"/>
    </xf>
    <xf numFmtId="0" fontId="8" fillId="5" borderId="16" xfId="0" applyFont="1" applyFill="1" applyBorder="1" applyAlignment="1">
      <alignment horizontal="left" vertical="center" indent="3"/>
    </xf>
    <xf numFmtId="165" fontId="8" fillId="5" borderId="17" xfId="0" applyNumberFormat="1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left" vertical="center" indent="3"/>
    </xf>
    <xf numFmtId="0" fontId="8" fillId="5" borderId="19" xfId="0" applyFont="1" applyFill="1" applyBorder="1" applyAlignment="1">
      <alignment horizontal="left" vertical="center" indent="3"/>
    </xf>
    <xf numFmtId="165" fontId="8" fillId="5" borderId="20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indent="3"/>
    </xf>
    <xf numFmtId="165" fontId="6" fillId="4" borderId="6" xfId="0" applyNumberFormat="1" applyFont="1" applyFill="1" applyBorder="1" applyAlignment="1">
      <alignment horizontal="center" vertical="center"/>
    </xf>
    <xf numFmtId="165" fontId="6" fillId="4" borderId="7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indent="3"/>
    </xf>
    <xf numFmtId="0" fontId="6" fillId="4" borderId="9" xfId="0" applyFont="1" applyFill="1" applyBorder="1" applyAlignment="1">
      <alignment horizontal="left" vertical="center" indent="3"/>
    </xf>
    <xf numFmtId="165" fontId="6" fillId="4" borderId="11" xfId="0" applyNumberFormat="1" applyFont="1" applyFill="1" applyBorder="1" applyAlignment="1">
      <alignment horizontal="center" vertical="center"/>
    </xf>
    <xf numFmtId="165" fontId="6" fillId="4" borderId="10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left" vertical="center" indent="3"/>
    </xf>
    <xf numFmtId="0" fontId="6" fillId="5" borderId="13" xfId="0" applyFont="1" applyFill="1" applyBorder="1" applyAlignment="1">
      <alignment horizontal="left" vertical="center" indent="3"/>
    </xf>
    <xf numFmtId="0" fontId="6" fillId="5" borderId="15" xfId="0" applyFont="1" applyFill="1" applyBorder="1" applyAlignment="1">
      <alignment horizontal="left" vertical="center" indent="3"/>
    </xf>
    <xf numFmtId="0" fontId="6" fillId="5" borderId="16" xfId="0" applyFont="1" applyFill="1" applyBorder="1" applyAlignment="1">
      <alignment horizontal="left" vertical="center" indent="3"/>
    </xf>
    <xf numFmtId="0" fontId="6" fillId="5" borderId="21" xfId="0" applyFont="1" applyFill="1" applyBorder="1" applyAlignment="1">
      <alignment horizontal="left" vertical="center" indent="3"/>
    </xf>
    <xf numFmtId="0" fontId="6" fillId="5" borderId="22" xfId="0" applyFont="1" applyFill="1" applyBorder="1" applyAlignment="1">
      <alignment horizontal="left" vertical="center" indent="3"/>
    </xf>
    <xf numFmtId="165" fontId="6" fillId="0" borderId="23" xfId="0" applyNumberFormat="1" applyFont="1" applyBorder="1" applyAlignment="1">
      <alignment horizontal="center" vertical="center"/>
    </xf>
    <xf numFmtId="0" fontId="6" fillId="5" borderId="24" xfId="0" applyFont="1" applyFill="1" applyBorder="1" applyAlignment="1">
      <alignment horizontal="left" vertical="center" indent="3"/>
    </xf>
    <xf numFmtId="0" fontId="6" fillId="5" borderId="25" xfId="0" applyFont="1" applyFill="1" applyBorder="1" applyAlignment="1">
      <alignment horizontal="left" vertical="center" indent="3"/>
    </xf>
    <xf numFmtId="10" fontId="6" fillId="0" borderId="26" xfId="0" applyNumberFormat="1" applyFont="1" applyBorder="1" applyAlignment="1">
      <alignment horizontal="center" vertical="center"/>
    </xf>
    <xf numFmtId="0" fontId="6" fillId="5" borderId="27" xfId="0" applyFont="1" applyFill="1" applyBorder="1" applyAlignment="1">
      <alignment horizontal="left" vertical="center" indent="3"/>
    </xf>
    <xf numFmtId="0" fontId="6" fillId="5" borderId="28" xfId="0" applyFont="1" applyFill="1" applyBorder="1" applyAlignment="1">
      <alignment horizontal="left" vertical="center" indent="3"/>
    </xf>
    <xf numFmtId="165" fontId="6" fillId="5" borderId="29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7" borderId="0" xfId="0" applyFont="1" applyFill="1"/>
    <xf numFmtId="0" fontId="11" fillId="7" borderId="0" xfId="0" applyFont="1" applyFill="1" applyAlignment="1">
      <alignment horizontal="center" vertical="center"/>
    </xf>
    <xf numFmtId="0" fontId="12" fillId="5" borderId="0" xfId="0" applyFont="1" applyFill="1"/>
    <xf numFmtId="165" fontId="12" fillId="5" borderId="0" xfId="0" applyNumberFormat="1" applyFont="1" applyFill="1" applyAlignment="1">
      <alignment horizontal="center" vertical="center"/>
    </xf>
    <xf numFmtId="0" fontId="7" fillId="5" borderId="0" xfId="0" applyFont="1" applyFill="1"/>
    <xf numFmtId="0" fontId="12" fillId="6" borderId="0" xfId="0" applyFont="1" applyFill="1" applyAlignment="1">
      <alignment horizontal="center" vertical="center"/>
    </xf>
    <xf numFmtId="0" fontId="7" fillId="6" borderId="0" xfId="0" applyFont="1" applyFill="1"/>
    <xf numFmtId="9" fontId="7" fillId="6" borderId="0" xfId="0" applyNumberFormat="1" applyFont="1" applyFill="1" applyAlignment="1">
      <alignment horizontal="center" vertical="center"/>
    </xf>
    <xf numFmtId="165" fontId="12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65" fontId="13" fillId="4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A65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APP!$C$32</c:f>
              <c:strCache>
                <c:ptCount val="1"/>
                <c:pt idx="0">
                  <c:v>Percentual sugerido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18142</xdr:rowOff>
    </xdr:from>
    <xdr:to>
      <xdr:col>4</xdr:col>
      <xdr:colOff>50800</xdr:colOff>
      <xdr:row>6</xdr:row>
      <xdr:rowOff>0</xdr:rowOff>
    </xdr:to>
    <xdr:sp macro="" textlink="">
      <xdr:nvSpPr>
        <xdr:cNvPr id="3" name="Bisel 2"/>
        <xdr:cNvSpPr/>
      </xdr:nvSpPr>
      <xdr:spPr>
        <a:xfrm>
          <a:off x="368300" y="18142"/>
          <a:ext cx="6578600" cy="1198880"/>
        </a:xfrm>
        <a:prstGeom prst="bevel">
          <a:avLst/>
        </a:prstGeom>
        <a:solidFill>
          <a:srgbClr val="008080"/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400" b="1">
              <a:solidFill>
                <a:schemeClr val="bg1"/>
              </a:solidFill>
              <a:latin typeface="Segoe UI" pitchFamily="34" charset="0"/>
              <a:ea typeface="Arial Unicode MS" pitchFamily="34" charset="-128"/>
              <a:cs typeface="Segoe UI" pitchFamily="34" charset="0"/>
            </a:rPr>
            <a:t>DIO Invest</a:t>
          </a:r>
        </a:p>
      </xdr:txBody>
    </xdr:sp>
    <xdr:clientData/>
  </xdr:twoCellAnchor>
  <xdr:twoCellAnchor>
    <xdr:from>
      <xdr:col>1</xdr:col>
      <xdr:colOff>457200</xdr:colOff>
      <xdr:row>41</xdr:row>
      <xdr:rowOff>138113</xdr:rowOff>
    </xdr:from>
    <xdr:to>
      <xdr:col>2</xdr:col>
      <xdr:colOff>1885950</xdr:colOff>
      <xdr:row>57</xdr:row>
      <xdr:rowOff>138113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showGridLines="0" showRowColHeaders="0" tabSelected="1" zoomScale="70" zoomScaleNormal="70" workbookViewId="0">
      <selection activeCell="C29" sqref="C29"/>
    </sheetView>
  </sheetViews>
  <sheetFormatPr defaultColWidth="0" defaultRowHeight="13.8"/>
  <cols>
    <col min="1" max="1" width="5.21875" style="1" customWidth="1"/>
    <col min="2" max="2" width="45.77734375" style="1" customWidth="1"/>
    <col min="3" max="3" width="30.6640625" style="1" customWidth="1"/>
    <col min="4" max="4" width="18.6640625" style="1" customWidth="1"/>
    <col min="5" max="9" width="5.21875" style="1" customWidth="1"/>
    <col min="10" max="10" width="5.21875" style="5" customWidth="1"/>
    <col min="11" max="13" width="0" style="5" hidden="1"/>
    <col min="14" max="16384" width="8.88671875" style="1" hidden="1"/>
  </cols>
  <sheetData>
    <row r="1" spans="1:13" ht="13.8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3.8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3.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3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3.8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6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5.6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28.8" customHeight="1">
      <c r="A8" s="4"/>
      <c r="B8" s="28" t="s">
        <v>14</v>
      </c>
      <c r="C8" s="29"/>
      <c r="D8" s="30"/>
      <c r="E8" s="4"/>
      <c r="F8" s="4"/>
      <c r="G8" s="4"/>
      <c r="H8" s="4"/>
      <c r="I8" s="4"/>
      <c r="J8" s="4"/>
      <c r="K8" s="4"/>
      <c r="L8" s="4"/>
      <c r="M8" s="4"/>
    </row>
    <row r="9" spans="1:13" ht="15.6" customHeight="1">
      <c r="A9" s="4"/>
      <c r="B9" s="35" t="s">
        <v>13</v>
      </c>
      <c r="C9" s="36"/>
      <c r="D9" s="37">
        <v>3500</v>
      </c>
      <c r="E9" s="4"/>
      <c r="F9" s="4"/>
      <c r="G9" s="4"/>
      <c r="H9" s="4"/>
      <c r="I9" s="4"/>
      <c r="J9" s="4"/>
      <c r="K9" s="4"/>
      <c r="L9" s="4"/>
      <c r="M9" s="4"/>
    </row>
    <row r="10" spans="1:13" ht="15.6" customHeight="1">
      <c r="A10" s="4"/>
      <c r="B10" s="38" t="s">
        <v>12</v>
      </c>
      <c r="C10" s="39"/>
      <c r="D10" s="40">
        <v>6.0000000000000001E-3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15.6" customHeight="1" thickBot="1">
      <c r="A11" s="4"/>
      <c r="B11" s="41" t="s">
        <v>32</v>
      </c>
      <c r="C11" s="42"/>
      <c r="D11" s="43">
        <f>salario*30%</f>
        <v>1050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ht="21.6" customHeight="1" thickBot="1">
      <c r="B12" s="6"/>
      <c r="C12" s="6"/>
      <c r="D12" s="6"/>
    </row>
    <row r="13" spans="1:13" ht="29.4">
      <c r="B13" s="23" t="s">
        <v>15</v>
      </c>
      <c r="C13" s="24"/>
      <c r="D13" s="25"/>
    </row>
    <row r="14" spans="1:13" ht="19.2" customHeight="1">
      <c r="B14" s="31" t="s">
        <v>0</v>
      </c>
      <c r="C14" s="32"/>
      <c r="D14" s="7">
        <v>700</v>
      </c>
    </row>
    <row r="15" spans="1:13" ht="19.2" customHeight="1">
      <c r="B15" s="33" t="s">
        <v>1</v>
      </c>
      <c r="C15" s="34"/>
      <c r="D15" s="8">
        <v>10</v>
      </c>
    </row>
    <row r="16" spans="1:13" ht="19.2" customHeight="1">
      <c r="B16" s="33" t="s">
        <v>2</v>
      </c>
      <c r="C16" s="34"/>
      <c r="D16" s="9">
        <v>1.0789999999999999E-2</v>
      </c>
    </row>
    <row r="17" spans="1:4" ht="19.2" customHeight="1">
      <c r="B17" s="10" t="s">
        <v>3</v>
      </c>
      <c r="C17" s="11"/>
      <c r="D17" s="12">
        <f>FV(taxa_mensal,qtd_anos*12,aporte*(-1))</f>
        <v>170298.94877112054</v>
      </c>
    </row>
    <row r="18" spans="1:4" ht="19.2" customHeight="1" thickBot="1">
      <c r="B18" s="13" t="s">
        <v>4</v>
      </c>
      <c r="C18" s="14"/>
      <c r="D18" s="15">
        <f>patrimonio*rendimento_carteira</f>
        <v>1021.7936926267233</v>
      </c>
    </row>
    <row r="19" spans="1:4" ht="21.6" customHeight="1" thickBot="1">
      <c r="B19" s="6"/>
      <c r="C19" s="6"/>
      <c r="D19" s="6"/>
    </row>
    <row r="20" spans="1:4" ht="29.4">
      <c r="B20" s="26" t="s">
        <v>10</v>
      </c>
      <c r="C20" s="27"/>
      <c r="D20" s="44" t="s">
        <v>11</v>
      </c>
    </row>
    <row r="21" spans="1:4" ht="19.2">
      <c r="A21" s="2">
        <v>2</v>
      </c>
      <c r="B21" s="16" t="s">
        <v>5</v>
      </c>
      <c r="C21" s="17">
        <f>FV(taxa_mensal,A21*12,aporte*(-1))</f>
        <v>19059.339108351651</v>
      </c>
      <c r="D21" s="18">
        <f>C21*rendimento_carteira</f>
        <v>114.3560346501099</v>
      </c>
    </row>
    <row r="22" spans="1:4" ht="19.2">
      <c r="A22" s="2">
        <v>5</v>
      </c>
      <c r="B22" s="19" t="s">
        <v>6</v>
      </c>
      <c r="C22" s="17">
        <f>FV(taxa_mensal,A22*12,aporte*(-1))</f>
        <v>58643.83979894135</v>
      </c>
      <c r="D22" s="18">
        <f>C22*rendimento_carteira</f>
        <v>351.86303879364812</v>
      </c>
    </row>
    <row r="23" spans="1:4" ht="19.2">
      <c r="A23" s="2">
        <v>10</v>
      </c>
      <c r="B23" s="19" t="s">
        <v>7</v>
      </c>
      <c r="C23" s="17">
        <f>FV(taxa_mensal,A23*12,aporte*(-1))</f>
        <v>170298.94877112054</v>
      </c>
      <c r="D23" s="18">
        <f>C23*rendimento_carteira</f>
        <v>1021.7936926267233</v>
      </c>
    </row>
    <row r="24" spans="1:4" ht="19.2">
      <c r="A24" s="2">
        <v>20</v>
      </c>
      <c r="B24" s="19" t="s">
        <v>8</v>
      </c>
      <c r="C24" s="17">
        <f>FV(taxa_mensal,A24*12,aporte*(-1))</f>
        <v>787638.8800679564</v>
      </c>
      <c r="D24" s="18">
        <f>C24*rendimento_carteira</f>
        <v>4725.8332804077381</v>
      </c>
    </row>
    <row r="25" spans="1:4" ht="19.8" thickBot="1">
      <c r="A25" s="2">
        <v>30</v>
      </c>
      <c r="B25" s="20" t="s">
        <v>9</v>
      </c>
      <c r="C25" s="21">
        <f>FV(taxa_mensal,A25*12,aporte*(-1))</f>
        <v>3025518.7585033001</v>
      </c>
      <c r="D25" s="22">
        <f>C25*rendimento_carteira</f>
        <v>18153.1125510198</v>
      </c>
    </row>
    <row r="29" spans="1:4" ht="16.8">
      <c r="B29" s="45" t="s">
        <v>20</v>
      </c>
      <c r="C29" s="46" t="s">
        <v>17</v>
      </c>
      <c r="D29" s="45"/>
    </row>
    <row r="30" spans="1:4" ht="16.8">
      <c r="B30" s="47" t="s">
        <v>19</v>
      </c>
      <c r="C30" s="48">
        <f>aporte</f>
        <v>700</v>
      </c>
      <c r="D30" s="49"/>
    </row>
    <row r="31" spans="1:4" ht="16.8">
      <c r="B31" s="6"/>
      <c r="C31" s="6"/>
      <c r="D31" s="6"/>
    </row>
    <row r="32" spans="1:4" ht="16.8">
      <c r="B32" s="50" t="s">
        <v>21</v>
      </c>
      <c r="C32" s="50" t="s">
        <v>22</v>
      </c>
      <c r="D32" s="50" t="s">
        <v>23</v>
      </c>
    </row>
    <row r="33" spans="2:4" ht="16.8">
      <c r="B33" s="66" t="s">
        <v>24</v>
      </c>
      <c r="C33" s="67">
        <f>VLOOKUP($C$29&amp;"-"&amp;B33,Chave!$A$2:$D$20,4,FALSE)</f>
        <v>0.32</v>
      </c>
      <c r="D33" s="65">
        <f>C33*$C$30</f>
        <v>224</v>
      </c>
    </row>
    <row r="34" spans="2:4" ht="16.8">
      <c r="B34" s="66" t="s">
        <v>25</v>
      </c>
      <c r="C34" s="67">
        <f>VLOOKUP($C$29&amp;"-"&amp;B34,Chave!$A$2:$D$20,4,FALSE)</f>
        <v>0.4</v>
      </c>
      <c r="D34" s="65">
        <f t="shared" ref="D34:D38" si="0">C34*$C$30</f>
        <v>280</v>
      </c>
    </row>
    <row r="35" spans="2:4" ht="16.8">
      <c r="B35" s="66" t="s">
        <v>26</v>
      </c>
      <c r="C35" s="67">
        <f>VLOOKUP($C$29&amp;"-"&amp;B35,Chave!$A$2:$D$20,4,FALSE)</f>
        <v>0.08</v>
      </c>
      <c r="D35" s="65">
        <f t="shared" si="0"/>
        <v>56</v>
      </c>
    </row>
    <row r="36" spans="2:4" ht="16.8">
      <c r="B36" s="66" t="s">
        <v>27</v>
      </c>
      <c r="C36" s="67">
        <f>VLOOKUP($C$29&amp;"-"&amp;B36,Chave!$A$2:$D$20,4,FALSE)</f>
        <v>0.1</v>
      </c>
      <c r="D36" s="65">
        <f t="shared" si="0"/>
        <v>70</v>
      </c>
    </row>
    <row r="37" spans="2:4" ht="16.8">
      <c r="B37" s="66" t="s">
        <v>28</v>
      </c>
      <c r="C37" s="67">
        <f>VLOOKUP($C$29&amp;"-"&amp;B37,Chave!$A$2:$D$20,4,FALSE)</f>
        <v>0.1</v>
      </c>
      <c r="D37" s="65">
        <f t="shared" si="0"/>
        <v>70</v>
      </c>
    </row>
    <row r="38" spans="2:4" ht="16.8">
      <c r="B38" s="66" t="s">
        <v>29</v>
      </c>
      <c r="C38" s="67">
        <f>VLOOKUP($C$29&amp;"-"&amp;B38,Chave!$A$2:$D$20,4,FALSE)</f>
        <v>0</v>
      </c>
      <c r="D38" s="65">
        <f t="shared" si="0"/>
        <v>0</v>
      </c>
    </row>
    <row r="39" spans="2:4" ht="16.8">
      <c r="B39" s="51"/>
      <c r="C39" s="52"/>
      <c r="D39" s="53">
        <f>SUM(D33:D38)</f>
        <v>700</v>
      </c>
    </row>
  </sheetData>
  <mergeCells count="11">
    <mergeCell ref="B16:C16"/>
    <mergeCell ref="B13:D13"/>
    <mergeCell ref="B9:C9"/>
    <mergeCell ref="B10:C10"/>
    <mergeCell ref="B11:C11"/>
    <mergeCell ref="B8:D8"/>
    <mergeCell ref="B20:C20"/>
    <mergeCell ref="B14:C14"/>
    <mergeCell ref="B15:C15"/>
    <mergeCell ref="B18:C18"/>
    <mergeCell ref="B17:C17"/>
  </mergeCells>
  <dataValidations count="1">
    <dataValidation type="list" allowBlank="1" showInputMessage="1" showErrorMessage="1" sqref="C29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workbookViewId="0">
      <selection activeCell="A30" sqref="A30"/>
    </sheetView>
  </sheetViews>
  <sheetFormatPr defaultRowHeight="14.4"/>
  <cols>
    <col min="1" max="1" width="29.21875" bestFit="1" customWidth="1"/>
    <col min="2" max="2" width="11.6640625" customWidth="1"/>
    <col min="3" max="3" width="18" bestFit="1" customWidth="1"/>
    <col min="4" max="4" width="11.77734375" customWidth="1"/>
  </cols>
  <sheetData>
    <row r="2" spans="1:4">
      <c r="A2" s="56" t="s">
        <v>31</v>
      </c>
      <c r="B2" s="56" t="s">
        <v>20</v>
      </c>
      <c r="C2" s="56" t="s">
        <v>21</v>
      </c>
      <c r="D2" s="56" t="s">
        <v>30</v>
      </c>
    </row>
    <row r="3" spans="1:4">
      <c r="A3" s="57" t="str">
        <f>$B$3&amp;"-"&amp;C3</f>
        <v>Conservador-PAPEL</v>
      </c>
      <c r="B3" s="58" t="s">
        <v>16</v>
      </c>
      <c r="C3" s="58" t="s">
        <v>24</v>
      </c>
      <c r="D3" s="59">
        <v>0.3</v>
      </c>
    </row>
    <row r="4" spans="1:4">
      <c r="A4" s="57" t="str">
        <f t="shared" ref="A4:A14" si="0">$B$3&amp;"-"&amp;C4</f>
        <v>Conservador-TIJOLO</v>
      </c>
      <c r="B4" s="58" t="s">
        <v>16</v>
      </c>
      <c r="C4" s="58" t="s">
        <v>25</v>
      </c>
      <c r="D4" s="59">
        <v>0.5</v>
      </c>
    </row>
    <row r="5" spans="1:4">
      <c r="A5" s="57" t="str">
        <f t="shared" si="0"/>
        <v>Conservador-HÍBRIDOS</v>
      </c>
      <c r="B5" s="58" t="s">
        <v>16</v>
      </c>
      <c r="C5" s="58" t="s">
        <v>26</v>
      </c>
      <c r="D5" s="59">
        <v>0.1</v>
      </c>
    </row>
    <row r="6" spans="1:4">
      <c r="A6" s="57" t="str">
        <f t="shared" si="0"/>
        <v>Conservador-FOFs</v>
      </c>
      <c r="B6" s="58" t="s">
        <v>16</v>
      </c>
      <c r="C6" s="58" t="s">
        <v>27</v>
      </c>
      <c r="D6" s="59">
        <v>0.1</v>
      </c>
    </row>
    <row r="7" spans="1:4">
      <c r="A7" s="57" t="str">
        <f t="shared" si="0"/>
        <v>Conservador-DESENVOLVIMENTO</v>
      </c>
      <c r="B7" s="58" t="s">
        <v>16</v>
      </c>
      <c r="C7" s="58" t="s">
        <v>28</v>
      </c>
      <c r="D7" s="59">
        <v>0</v>
      </c>
    </row>
    <row r="8" spans="1:4" ht="15" thickBot="1">
      <c r="A8" s="60" t="str">
        <f t="shared" si="0"/>
        <v>Conservador-HOTELARIAS</v>
      </c>
      <c r="B8" s="61" t="s">
        <v>16</v>
      </c>
      <c r="C8" s="61" t="s">
        <v>29</v>
      </c>
      <c r="D8" s="62">
        <v>0</v>
      </c>
    </row>
    <row r="9" spans="1:4">
      <c r="A9" t="str">
        <f>$B$9&amp;"-"&amp;C9</f>
        <v>Moderado-PAPEL</v>
      </c>
      <c r="B9" s="54" t="s">
        <v>17</v>
      </c>
      <c r="C9" s="54" t="s">
        <v>24</v>
      </c>
      <c r="D9" s="63">
        <v>0.32</v>
      </c>
    </row>
    <row r="10" spans="1:4">
      <c r="A10" t="str">
        <f t="shared" ref="A10:A20" si="1">$B$9&amp;"-"&amp;C10</f>
        <v>Moderado-TIJOLO</v>
      </c>
      <c r="B10" s="54" t="s">
        <v>17</v>
      </c>
      <c r="C10" s="54" t="s">
        <v>25</v>
      </c>
      <c r="D10" s="63">
        <v>0.4</v>
      </c>
    </row>
    <row r="11" spans="1:4">
      <c r="A11" t="str">
        <f t="shared" si="1"/>
        <v>Moderado-HÍBRIDOS</v>
      </c>
      <c r="B11" s="54" t="s">
        <v>17</v>
      </c>
      <c r="C11" s="54" t="s">
        <v>26</v>
      </c>
      <c r="D11" s="63">
        <v>0.08</v>
      </c>
    </row>
    <row r="12" spans="1:4">
      <c r="A12" t="str">
        <f t="shared" si="1"/>
        <v>Moderado-FOFs</v>
      </c>
      <c r="B12" s="54" t="s">
        <v>17</v>
      </c>
      <c r="C12" s="54" t="s">
        <v>27</v>
      </c>
      <c r="D12" s="63">
        <v>0.1</v>
      </c>
    </row>
    <row r="13" spans="1:4">
      <c r="A13" t="str">
        <f t="shared" si="1"/>
        <v>Moderado-DESENVOLVIMENTO</v>
      </c>
      <c r="B13" s="54" t="s">
        <v>17</v>
      </c>
      <c r="C13" s="54" t="s">
        <v>28</v>
      </c>
      <c r="D13" s="63">
        <v>0.1</v>
      </c>
    </row>
    <row r="14" spans="1:4" ht="15" thickBot="1">
      <c r="A14" s="60" t="str">
        <f t="shared" si="1"/>
        <v>Moderado-HOTELARIAS</v>
      </c>
      <c r="B14" s="61" t="s">
        <v>17</v>
      </c>
      <c r="C14" s="61" t="s">
        <v>29</v>
      </c>
      <c r="D14" s="64">
        <v>0</v>
      </c>
    </row>
    <row r="15" spans="1:4">
      <c r="A15" t="str">
        <f>$B$15&amp;"-"&amp;C15</f>
        <v>Agressivo-PAPEL</v>
      </c>
      <c r="B15" s="54" t="s">
        <v>18</v>
      </c>
      <c r="C15" t="s">
        <v>24</v>
      </c>
      <c r="D15" s="63">
        <v>0.5</v>
      </c>
    </row>
    <row r="16" spans="1:4">
      <c r="A16" t="str">
        <f t="shared" ref="A16:A20" si="2">$B$15&amp;"-"&amp;C16</f>
        <v>Agressivo-TIJOLO</v>
      </c>
      <c r="B16" s="54" t="s">
        <v>18</v>
      </c>
      <c r="C16" t="s">
        <v>25</v>
      </c>
      <c r="D16" s="55">
        <v>0.1</v>
      </c>
    </row>
    <row r="17" spans="1:4">
      <c r="A17" t="str">
        <f t="shared" si="2"/>
        <v>Agressivo-HÍBRIDOS</v>
      </c>
      <c r="B17" s="54" t="s">
        <v>18</v>
      </c>
      <c r="C17" t="s">
        <v>26</v>
      </c>
      <c r="D17" s="55">
        <v>0.05</v>
      </c>
    </row>
    <row r="18" spans="1:4">
      <c r="A18" t="str">
        <f t="shared" si="2"/>
        <v>Agressivo-FOFs</v>
      </c>
      <c r="B18" s="54" t="s">
        <v>18</v>
      </c>
      <c r="C18" t="s">
        <v>27</v>
      </c>
      <c r="D18" s="55">
        <v>0.05</v>
      </c>
    </row>
    <row r="19" spans="1:4">
      <c r="A19" t="str">
        <f t="shared" si="2"/>
        <v>Agressivo-DESENVOLVIMENTO</v>
      </c>
      <c r="B19" s="54" t="s">
        <v>18</v>
      </c>
      <c r="C19" t="s">
        <v>28</v>
      </c>
      <c r="D19" s="55">
        <v>0.2</v>
      </c>
    </row>
    <row r="20" spans="1:4">
      <c r="A20" t="str">
        <f t="shared" si="2"/>
        <v>Agressivo-HOTELARIAS</v>
      </c>
      <c r="B20" s="54" t="s">
        <v>18</v>
      </c>
      <c r="C20" t="s">
        <v>29</v>
      </c>
      <c r="D20" s="5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Chave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Ísis</dc:creator>
  <cp:lastModifiedBy>Ísis</cp:lastModifiedBy>
  <cp:lastPrinted>2026-10-12T23:32:10Z</cp:lastPrinted>
  <dcterms:created xsi:type="dcterms:W3CDTF">2026-10-12T19:48:09Z</dcterms:created>
  <dcterms:modified xsi:type="dcterms:W3CDTF">2026-10-12T23:33:09Z</dcterms:modified>
</cp:coreProperties>
</file>